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0480" tabRatio="600" firstSheet="0" activeTab="0" autoFilterDateGrouping="1"/>
  </bookViews>
  <sheets>
    <sheet xmlns:r="http://schemas.openxmlformats.org/officeDocument/2006/relationships" name="新建 Text Documen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等线"/>
      <charset val="134"/>
      <color theme="1"/>
      <sz val="11"/>
      <scheme val="minor"/>
    </font>
    <font>
      <name val="Arial"/>
      <charset val="134"/>
      <color rgb="FFFFFFFF"/>
      <sz val="8"/>
    </font>
    <font>
      <name val="Arial"/>
      <charset val="134"/>
      <color theme="1"/>
      <sz val="8"/>
    </font>
    <font>
      <name val="宋体"/>
      <charset val="134"/>
      <b val="1"/>
      <sz val="11"/>
    </font>
    <font>
      <name val="宋体"/>
      <charset val="134"/>
      <b val="1"/>
      <color theme="1"/>
      <sz val="11"/>
    </font>
    <font>
      <name val="宋体"/>
      <charset val="134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134"/>
      <color rgb="FFFF0000"/>
      <sz val="11"/>
      <scheme val="minor"/>
    </font>
    <font>
      <name val="等线 Light"/>
      <charset val="134"/>
      <color theme="3"/>
      <sz val="18"/>
      <scheme val="major"/>
    </font>
    <font>
      <name val="等线"/>
      <charset val="134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134"/>
      <color rgb="FF3F3F76"/>
      <sz val="11"/>
      <scheme val="minor"/>
    </font>
    <font>
      <name val="等线"/>
      <charset val="134"/>
      <b val="1"/>
      <color rgb="FF3F3F3F"/>
      <sz val="11"/>
      <scheme val="minor"/>
    </font>
    <font>
      <name val="等线"/>
      <charset val="134"/>
      <b val="1"/>
      <color rgb="FFFA7D00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rgb="FFFA7D00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134"/>
      <color rgb="FF9C0006"/>
      <sz val="11"/>
      <scheme val="minor"/>
    </font>
    <font>
      <name val="等线"/>
      <charset val="134"/>
      <color rgb="FF9C5700"/>
      <sz val="11"/>
      <scheme val="minor"/>
    </font>
    <font>
      <name val="等线"/>
      <charset val="134"/>
      <color theme="0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4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3" fillId="0" borderId="7" applyAlignment="1">
      <alignment vertical="center"/>
    </xf>
    <xf numFmtId="0" fontId="13" fillId="0" borderId="0" applyAlignment="1">
      <alignment vertical="center"/>
    </xf>
    <xf numFmtId="0" fontId="14" fillId="5" borderId="8" applyAlignment="1">
      <alignment vertical="center"/>
    </xf>
    <xf numFmtId="0" fontId="15" fillId="6" borderId="9" applyAlignment="1">
      <alignment vertical="center"/>
    </xf>
    <xf numFmtId="0" fontId="16" fillId="6" borderId="8" applyAlignment="1">
      <alignment vertical="center"/>
    </xf>
    <xf numFmtId="0" fontId="17" fillId="7" borderId="10" applyAlignment="1">
      <alignment vertical="center"/>
    </xf>
    <xf numFmtId="0" fontId="18" fillId="0" borderId="11" applyAlignment="1">
      <alignment vertical="center"/>
    </xf>
    <xf numFmtId="0" fontId="19" fillId="0" borderId="12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0" fillId="12" borderId="0" applyAlignment="1">
      <alignment vertical="center"/>
    </xf>
    <xf numFmtId="0" fontId="0" fillId="13" borderId="0" applyAlignment="1">
      <alignment vertical="center"/>
    </xf>
    <xf numFmtId="0" fontId="0" fillId="14" borderId="0" applyAlignment="1">
      <alignment vertical="center"/>
    </xf>
    <xf numFmtId="0" fontId="23" fillId="15" borderId="0" applyAlignment="1">
      <alignment vertical="center"/>
    </xf>
    <xf numFmtId="0" fontId="0" fillId="16" borderId="0" applyAlignment="1">
      <alignment vertical="center"/>
    </xf>
    <xf numFmtId="0" fontId="0" fillId="17" borderId="0" applyAlignment="1">
      <alignment vertical="center"/>
    </xf>
    <xf numFmtId="0" fontId="0" fillId="18" borderId="0" applyAlignment="1">
      <alignment vertical="center"/>
    </xf>
    <xf numFmtId="0" fontId="23" fillId="19" borderId="0" applyAlignment="1">
      <alignment vertical="center"/>
    </xf>
    <xf numFmtId="0" fontId="0" fillId="20" borderId="0" applyAlignment="1">
      <alignment vertical="center"/>
    </xf>
    <xf numFmtId="0" fontId="0" fillId="21" borderId="0" applyAlignment="1">
      <alignment vertical="center"/>
    </xf>
    <xf numFmtId="0" fontId="0" fillId="22" borderId="0" applyAlignment="1">
      <alignment vertical="center"/>
    </xf>
    <xf numFmtId="0" fontId="23" fillId="23" borderId="0" applyAlignment="1">
      <alignment vertical="center"/>
    </xf>
    <xf numFmtId="0" fontId="0" fillId="24" borderId="0" applyAlignment="1">
      <alignment vertical="center"/>
    </xf>
    <xf numFmtId="0" fontId="0" fillId="25" borderId="0" applyAlignment="1">
      <alignment vertical="center"/>
    </xf>
    <xf numFmtId="0" fontId="0" fillId="26" borderId="0" applyAlignment="1">
      <alignment vertical="center"/>
    </xf>
    <xf numFmtId="0" fontId="23" fillId="27" borderId="0" applyAlignment="1">
      <alignment vertical="center"/>
    </xf>
    <xf numFmtId="0" fontId="0" fillId="28" borderId="0" applyAlignment="1">
      <alignment vertical="center"/>
    </xf>
    <xf numFmtId="0" fontId="0" fillId="29" borderId="0" applyAlignment="1">
      <alignment vertical="center"/>
    </xf>
    <xf numFmtId="0" fontId="0" fillId="30" borderId="0" applyAlignment="1">
      <alignment vertical="center"/>
    </xf>
    <xf numFmtId="0" fontId="23" fillId="31" borderId="0" applyAlignment="1">
      <alignment vertical="center"/>
    </xf>
    <xf numFmtId="0" fontId="0" fillId="32" borderId="0" applyAlignment="1">
      <alignment vertical="center"/>
    </xf>
    <xf numFmtId="0" fontId="0" fillId="33" borderId="0" applyAlignment="1">
      <alignment vertical="center"/>
    </xf>
    <xf numFmtId="0" fontId="0" fillId="34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vertical="center"/>
    </xf>
    <xf numFmtId="0" fontId="0" fillId="0" borderId="2" pivotButton="0" quotePrefix="0" xfId="0"/>
    <xf numFmtId="0" fontId="2" fillId="0" borderId="1" applyAlignment="1" pivotButton="0" quotePrefix="0" xfId="0">
      <alignment vertical="center"/>
    </xf>
    <xf numFmtId="0" fontId="2" fillId="3" borderId="3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3" pivotButton="0" quotePrefix="0" xfId="0"/>
    <xf numFmtId="0" fontId="0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tabSelected="1" topLeftCell="C19" zoomScale="85" zoomScaleNormal="85" workbookViewId="0">
      <selection activeCell="G21" sqref="G21"/>
    </sheetView>
  </sheetViews>
  <sheetFormatPr baseColWidth="8" defaultColWidth="34.9916666666667" defaultRowHeight="128" customHeight="1"/>
  <cols>
    <col width="34.9916666666667" customWidth="1" style="4" min="1" max="7"/>
    <col width="34.9916666666667" customWidth="1" style="4" min="8" max="16384"/>
  </cols>
  <sheetData>
    <row r="1" customFormat="1" s="1">
      <c r="A1" s="5" t="inlineStr">
        <is>
          <t>测试用例编号</t>
        </is>
      </c>
      <c r="B1" s="5" t="inlineStr">
        <is>
          <t>测试模块</t>
        </is>
      </c>
      <c r="C1" s="5" t="inlineStr">
        <is>
          <t>测试前置条件</t>
        </is>
      </c>
      <c r="D1" s="5" t="inlineStr">
        <is>
          <t>测试步骤</t>
        </is>
      </c>
      <c r="E1" s="5" t="inlineStr">
        <is>
          <t>预期结果</t>
        </is>
      </c>
      <c r="F1" s="5" t="inlineStr">
        <is>
          <t>实测结果</t>
        </is>
      </c>
      <c r="G1" s="6" t="inlineStr">
        <is>
          <t xml:space="preserve">            演示图片</t>
        </is>
      </c>
    </row>
    <row r="2" customFormat="1" s="2">
      <c r="A2" s="7" t="inlineStr">
        <is>
          <t>TC-01</t>
        </is>
      </c>
      <c r="B2" s="7" t="inlineStr">
        <is>
          <t>视频流采集模块</t>
        </is>
      </c>
      <c r="C2" s="8" t="inlineStr">
        <is>
          <t>物理 USB 摄像头已成功挂载</t>
        </is>
      </c>
      <c r="D2" s="8" t="inlineStr">
        <is>
          <t>1. 启动智能监控大屏系统。
2. 观察视频源拉流帧率及 CPU 绑核规则（Core 0）。</t>
        </is>
      </c>
      <c r="E2" s="8" t="inlineStr">
        <is>
          <t>1. 实时拉流帧率稳定在 11.4 FPS 左右。
2. 拉流控制线程静态绑定于 Core 0 小核运行。</t>
        </is>
      </c>
      <c r="F2" s="7" t="inlineStr">
        <is>
          <t>Pass。USB 摄像头阻塞式拉流帧率稳定，Core 0 绑核正常，系统大核未受 I/O 中断竞争影响。</t>
        </is>
      </c>
      <c r="G2" s="9">
        <f>_xlfn.DISPIMG("ID_57E01F984F6E4E94BF9CC091F8A203E6",1)</f>
        <v/>
      </c>
    </row>
    <row r="3" customFormat="1" s="2">
      <c r="A3" s="7" t="inlineStr">
        <is>
          <t>TC-02</t>
        </is>
      </c>
      <c r="B3" s="7" t="inlineStr">
        <is>
          <t>视频流采集模块</t>
        </is>
      </c>
      <c r="C3" s="8" t="inlineStr">
        <is>
          <t>程序正常运行，摄像头已连接，本地包含测试视频</t>
        </is>
      </c>
      <c r="D3" s="8" t="inlineStr">
        <is>
          <t>1. 在 Qt 界面点击“导入录像”导入 MP4 文件。</t>
        </is>
      </c>
      <c r="E3" s="8" t="inlineStr">
        <is>
          <t>1. 画面接近无缝切换至视频文件，程序无卡顿闪退。</t>
        </is>
      </c>
      <c r="F3" s="7" t="inlineStr">
        <is>
          <t>Pass。画面切换瞬间平滑无缝；视频播放完毕后终端打印回退提示，1秒内成功切回物理摄像头画面。</t>
        </is>
      </c>
      <c r="G3" s="9" t="n"/>
    </row>
    <row r="4" customFormat="1" s="3">
      <c r="A4" s="10" t="n"/>
      <c r="B4" s="10" t="n"/>
      <c r="C4" s="10" t="n"/>
      <c r="D4" s="8" t="inlineStr">
        <is>
          <t>2. 观察视频播放完毕后的系统反应。</t>
        </is>
      </c>
      <c r="E4" s="8" t="inlineStr">
        <is>
          <t>2. 视频播放完毕后，自动切回 USB 摄像头实时画面。</t>
        </is>
      </c>
      <c r="F4" s="10" t="n"/>
      <c r="G4" s="11" t="n"/>
    </row>
    <row r="5" customFormat="1" s="3">
      <c r="A5" s="7" t="inlineStr">
        <is>
          <t>TC-03</t>
        </is>
      </c>
      <c r="B5" s="7" t="inlineStr">
        <is>
          <t>数据总线模块</t>
        </is>
      </c>
      <c r="C5" s="8" t="inlineStr">
        <is>
          <t>系统多线程高并发运行</t>
        </is>
      </c>
      <c r="D5" s="8" t="inlineStr">
        <is>
          <t>1. 开启 htop 监控 CPU 状态。</t>
        </is>
      </c>
      <c r="E5" s="8" t="inlineStr">
        <is>
          <t>1. Core 2/3 大核占用率持续保持 95% 以上，Core 0 小核保持 55% 左右，无线程竞争死锁。</t>
        </is>
      </c>
      <c r="F5" s="7" t="inlineStr">
        <is>
          <t>Pass。基于原子屏障 of SPSC 无锁环形队列运行良好，大核算力全开（达 98%），满载运行 4 小时无假死或内核态阻塞。</t>
        </is>
      </c>
      <c r="G5" s="11" t="n"/>
    </row>
    <row r="6" customFormat="1" s="2">
      <c r="A6" s="10" t="n"/>
      <c r="B6" s="10" t="n"/>
      <c r="C6" s="10" t="n"/>
      <c r="D6" s="8" t="inlineStr">
        <is>
          <t>2. 让系统高负荷连续运行超 4 小时，观察多线程并发状态。</t>
        </is>
      </c>
      <c r="E6" s="8" t="inlineStr">
        <is>
          <t>2. 系统连续运行无崩溃、无主频下跌。</t>
        </is>
      </c>
      <c r="F6" s="10" t="n"/>
      <c r="G6" s="9" t="n"/>
    </row>
    <row r="7" customFormat="1" s="2">
      <c r="A7" s="7" t="inlineStr">
        <is>
          <t>TC-04</t>
        </is>
      </c>
      <c r="B7" s="7" t="inlineStr">
        <is>
          <t>AI视觉推理模块</t>
        </is>
      </c>
      <c r="C7" s="8" t="inlineStr">
        <is>
          <t>输入包含远处“手套/眼镜/安全帽”等小目标的画面</t>
        </is>
      </c>
      <c r="D7" s="8" t="inlineStr">
        <is>
          <t>1. 让受试人员站在距摄像头 3-5 米外。</t>
        </is>
      </c>
      <c r="E7" s="8" t="inlineStr">
        <is>
          <t>1. 依托 QAT 量化技术，小目标特征未塌陷，UI 界面依然能稳定画出红色违规框，置信度保持在 0.45 以上。</t>
        </is>
      </c>
      <c r="F7" s="7" t="inlineStr">
        <is>
          <t>Pass。QAT INT8 模型推理精度优良，远处手套等微小特征未被截断抹平，置信度稳定在 0.52 以上。</t>
        </is>
      </c>
      <c r="G7" s="17">
        <f>_xlfn.DISPIMG("ID_D3CCB59980184FBA946759AEEA1E0D39",1)</f>
        <v/>
      </c>
    </row>
    <row r="8" customFormat="1" s="3">
      <c r="A8" s="10" t="n"/>
      <c r="B8" s="10" t="n"/>
      <c r="C8" s="10" t="n"/>
      <c r="D8" s="8" t="inlineStr">
        <is>
          <t>2. 观察系统对“未戴手套”、“未戴眼镜”等微小特征的检出率。</t>
        </is>
      </c>
      <c r="E8" s="8" t="inlineStr">
        <is>
          <t>2. 微小特征未发生传统 PTQ 导致的特征抹平漏报。</t>
        </is>
      </c>
      <c r="F8" s="10" t="n"/>
      <c r="G8" s="10" t="n"/>
    </row>
    <row r="9" customFormat="1" s="3">
      <c r="A9" s="7" t="inlineStr">
        <is>
          <t>TC-05</t>
        </is>
      </c>
      <c r="B9" s="7" t="inlineStr">
        <is>
          <t>AI视觉推理模块</t>
        </is>
      </c>
      <c r="C9" s="8" t="inlineStr">
        <is>
          <t>开启 ByteTrack 追踪模块</t>
        </is>
      </c>
      <c r="D9" s="8" t="inlineStr">
        <is>
          <t>1. 安排两名工人（ID:1, ID:2）在镜头前交叉走动。</t>
        </is>
      </c>
      <c r="E9" s="8" t="inlineStr">
        <is>
          <t>1. 两人交叉或被遮挡后重新出现时，追踪 ID 不发生转变。</t>
        </is>
      </c>
      <c r="F9" s="7" t="inlineStr">
        <is>
          <t>Pass。复杂遮挡重现后，卡尔曼滤波成功捞回原 ID 并继续追踪，状态防抖正常，ID 未频繁跳变。</t>
        </is>
      </c>
      <c r="G9" s="11" t="n"/>
    </row>
    <row r="10" customFormat="1" s="2">
      <c r="A10" s="10" t="n"/>
      <c r="B10" s="10" t="n"/>
      <c r="C10" s="10" t="n"/>
      <c r="D10" s="8" t="inlineStr">
        <is>
          <t>2. 安排工人短暂走到障碍物后方（遮挡 15 帧以上）再走出。</t>
        </is>
      </c>
      <c r="E10" s="8" t="inlineStr">
        <is>
          <t>2. 避免了因为 ID 频繁跳变引起的冗余 I/O 写入。</t>
        </is>
      </c>
      <c r="F10" s="10" t="n"/>
      <c r="G10" s="9" t="n"/>
    </row>
    <row r="11" customFormat="1" s="2">
      <c r="A11" s="7" t="inlineStr">
        <is>
          <t>TC-06</t>
        </is>
      </c>
      <c r="B11" s="7" t="inlineStr">
        <is>
          <t>软硬联动模块</t>
        </is>
      </c>
      <c r="C11" s="8" t="inlineStr">
        <is>
          <t>1号小核裸机固件已加载，硬件连接正常</t>
        </is>
      </c>
      <c r="D11" s="8" t="inlineStr">
        <is>
          <t>1. 模拟工人摘下安全帽（违规），观察从核蜂鸣器反应。</t>
        </is>
      </c>
      <c r="E11" s="8" t="inlineStr">
        <is>
          <t>1. 摘下帽子瞬间，从核 GPIO 立刻拉高，蜂鸣器长鸣报警。</t>
        </is>
      </c>
      <c r="F11" s="7" t="inlineStr">
        <is>
          <t>Pass。OpenAMP RPMsg 跨核联动顺畅，主核违规判决下发至从核驱动 GPIO 延迟 &lt; 1ms，双向防抖响应精准。</t>
        </is>
      </c>
      <c r="G11" s="9" t="n"/>
    </row>
    <row r="12" customFormat="1" s="3">
      <c r="A12" s="10" t="n"/>
      <c r="B12" s="10" t="n"/>
      <c r="C12" s="10" t="n"/>
      <c r="D12" s="8" t="inlineStr">
        <is>
          <t>2. 模拟工人重新戴上安全帽（合规），观察从核状态。</t>
        </is>
      </c>
      <c r="E12" s="8" t="inlineStr">
        <is>
          <t>2. 戴上帽子瞬间，触发“洗白”，从核蜂鸣器立即停止。</t>
        </is>
      </c>
      <c r="F12" s="10" t="n"/>
      <c r="G12" s="11" t="n"/>
    </row>
    <row r="13" customFormat="1" s="2">
      <c r="A13" s="7" t="inlineStr">
        <is>
          <t>TC-07</t>
        </is>
      </c>
      <c r="B13" s="7" t="inlineStr">
        <is>
          <t>软硬联动与环境检测</t>
        </is>
      </c>
      <c r="C13" s="8" t="inlineStr">
        <is>
          <t>1. OpenAMP 底层通信链路已就绪。
2. 从核已接入火焰、有害气体及温湿度传感器并满载运行。</t>
        </is>
      </c>
      <c r="D13" s="8" t="inlineStr">
        <is>
          <t>1. 物理触发火焰与有害气体传感器，向从核注入硬件中断与 状态数字信号。</t>
        </is>
      </c>
      <c r="E13" s="8" t="inlineStr">
        <is>
          <t>1. rx_task 极速捕获中断并渲染 UI，报警端到端延迟 &lt; 20ms，有害气体状态读取精准。</t>
        </is>
      </c>
      <c r="F13" s="7" t="inlineStr">
        <is>
          <t>Pass。火焰与有害气体硬中断抢占机制测试通过。在 50ms 模拟抖动下无闪烁；温湿度环境数据大屏实时刷新无误。</t>
        </is>
      </c>
      <c r="G13" s="9" t="n"/>
    </row>
    <row r="14" customFormat="1" s="2">
      <c r="A14" s="10" t="n"/>
      <c r="B14" s="10" t="n"/>
      <c r="C14" s="10" t="n"/>
      <c r="D14" s="8" t="inlineStr">
        <is>
          <t>2. 模拟 50ms 内的临界电平抖动，并读取 AHT20 温湿度传感器数据，观察界面显示。</t>
        </is>
      </c>
      <c r="E14" s="8" t="inlineStr">
        <is>
          <t>2. 排除抖动干扰，报警状态锁定 500ms 后重置，温湿度环境数据大屏每 2s 稳定刷新，无闪烁现象。</t>
        </is>
      </c>
      <c r="F14" s="10" t="n"/>
      <c r="G14" s="9" t="n"/>
    </row>
    <row r="15" customFormat="1" s="3">
      <c r="A15" s="7" t="inlineStr">
        <is>
          <t>TC-08</t>
        </is>
      </c>
      <c r="B15" s="7" t="inlineStr">
        <is>
          <t>UI交互渲染模块</t>
        </is>
      </c>
      <c r="C15" s="8" t="inlineStr">
        <is>
          <t>UI 界面处于监控状态</t>
        </is>
      </c>
      <c r="D15" s="8" t="inlineStr">
        <is>
          <t>1. 启动视频拉流，观察监控大屏画面是否有撕裂或相位滞后现象。</t>
        </is>
      </c>
      <c r="E15" s="8" t="inlineStr">
        <is>
          <t>画面通过零拷贝图像指针进行原位映射，视频流畅无撕裂，帧率稳定在 11.4 FPS。</t>
        </is>
      </c>
      <c r="F15" s="7" t="inlineStr">
        <is>
          <t>Pass。零拷贝渲染极大地降低了内存拷贝开销，视频在大屏幕原位渲染平滑流畅，帧率达到 11.4 FPS。</t>
        </is>
      </c>
      <c r="G15" s="11">
        <f>_xlfn.DISPIMG("ID_5CCA75F96B8F45158220BBAB5EA516F5",1)</f>
        <v/>
      </c>
    </row>
    <row r="16" customFormat="1" s="3">
      <c r="A16" s="7" t="inlineStr">
        <is>
          <t>TC-09</t>
        </is>
      </c>
      <c r="B16" s="7" t="inlineStr">
        <is>
          <t>UI交互渲染模块</t>
        </is>
      </c>
      <c r="C16" s="8" t="inlineStr">
        <is>
          <t>系统处于正常运行状态</t>
        </is>
      </c>
      <c r="D16" s="8" t="inlineStr">
        <is>
          <t>1. 核对侧边栏的 CPU 温度和负载百分比，与底层终端 htop 监控值对比。</t>
        </is>
      </c>
      <c r="E16" s="8" t="inlineStr">
        <is>
          <t>解析 /proc/stat 与 /sys/class/thermal 获得的数据精准在 UI 看板刷新，每 2 秒自刷新且与终端一致。</t>
        </is>
      </c>
      <c r="F16" s="7" t="inlineStr">
        <is>
          <t>Pass。硬件监控看板数据刷新机制正常，CPU 负载与温度动态展示无误，与底层 htop 实测完全一致。</t>
        </is>
      </c>
      <c r="G16" s="11">
        <f>_xlfn.DISPIMG("ID_C3B7A559F5BA4AEA991BC91047719634",1)</f>
        <v/>
      </c>
    </row>
    <row r="17" s="4">
      <c r="A17" s="7" t="inlineStr">
        <is>
          <t>TC-10</t>
        </is>
      </c>
      <c r="B17" s="7" t="inlineStr">
        <is>
          <t>本地存储模块</t>
        </is>
      </c>
      <c r="C17" s="8" t="inlineStr">
        <is>
          <t>触发违规事件</t>
        </is>
      </c>
      <c r="D17" s="8" t="inlineStr">
        <is>
          <t>1. 模拟违规事件发生，观察专职 I/O 线程在后台执行 JPEG 编码和 CSV 写入时的 UI 流畅度。</t>
        </is>
      </c>
      <c r="E17" s="8" t="inlineStr">
        <is>
          <t>异步后台队列剥离写盘，JPEG 快照与 CSV 日志顺利落盘，大屏前台渲染无卡死或跳帧现象。</t>
        </is>
      </c>
      <c r="F17" s="7" t="inlineStr">
        <is>
          <t>Pass。违规抓拍与日志异步写盘机制运行良好，证据不丢失，且消除了 I/O 阻塞对前台 GUI 帧率的影响。</t>
        </is>
      </c>
      <c r="G17" s="14" t="n"/>
    </row>
    <row r="18" s="4">
      <c r="A18" s="7" t="inlineStr">
        <is>
          <t>TC-11</t>
        </is>
      </c>
      <c r="B18" s="7" t="inlineStr">
        <is>
          <t>本地存储模块</t>
        </is>
      </c>
      <c r="C18" s="8" t="inlineStr">
        <is>
          <t>violations_data 目录空间报警阈值已配</t>
        </is>
      </c>
      <c r="D18" s="8" t="inlineStr">
        <is>
          <t>1. 向 violations_data 强行拷入大文件，使磁盘分区占用达到 85% 以上，触发一次新违规。</t>
        </is>
      </c>
      <c r="E18" s="8" t="inlineStr">
        <is>
          <t>系统主动拦截溢出风险，按时间戳升序自动删除最旧的 20% 照片档案，后续写盘正常。</t>
        </is>
      </c>
      <c r="F18" s="7" t="inlineStr">
        <is>
          <t>Pass。分区占用率超 85% 后自动触发自清洁机制，成功按时间戳升序清理 1500 张旧照片，新抓拍顺利写入。</t>
        </is>
      </c>
      <c r="G18" s="14" t="n"/>
    </row>
    <row r="19" s="4">
      <c r="A19" s="7" t="inlineStr">
        <is>
          <t>TC-12</t>
        </is>
      </c>
      <c r="B19" s="7" t="inlineStr">
        <is>
          <t>安全可靠性保障模块</t>
        </is>
      </c>
      <c r="C19" s="8" t="inlineStr">
        <is>
          <t>1. 主从核通过 OpenAMP 初始化成功。
2. 心跳监控线程 heartbeat_task 已启动，周期 500ms。</t>
        </is>
      </c>
      <c r="D19" s="8" t="inlineStr">
        <is>
          <t>1. 监测正常运行时从核对心跳包的应答状态。</t>
        </is>
      </c>
      <c r="E19" s="8" t="inlineStr">
        <is>
          <t>1. 主从核以 500ms 周期稳定发包。</t>
        </is>
      </c>
      <c r="F19" s="7" t="inlineStr">
        <is>
          <t>Pass。心跳线程真机测试通过。主核人为挂起后，从核在 2s 内准确检测并报警，且串口成功打印失联日志。</t>
        </is>
      </c>
      <c r="G19" s="14" t="n"/>
    </row>
    <row r="20" s="4">
      <c r="A20" s="10" t="n"/>
      <c r="B20" s="10" t="n"/>
      <c r="C20" s="10" t="n"/>
      <c r="D20" s="8" t="inlineStr">
        <is>
          <t>2. 在主核人为挂起 AI 业务线程，观察心跳是否丢失并验证从核报警动作。</t>
        </is>
      </c>
      <c r="E20" s="8" t="inlineStr">
        <is>
          <t>2. 主核心跳丢失 2s（4次超时）后，从核串口捕获异常并打印主从失联日志。</t>
        </is>
      </c>
      <c r="F20" s="10" t="n"/>
      <c r="G20" s="14" t="n"/>
    </row>
    <row r="21" s="4">
      <c r="A21" s="7" t="inlineStr">
        <is>
          <t>TC-13</t>
        </is>
      </c>
      <c r="B21" s="7" t="inlineStr">
        <is>
          <t>安全可靠性保障模块</t>
        </is>
      </c>
      <c r="C21" s="8" t="inlineStr">
        <is>
          <t>1. 飞腾底层 fwdt 硬件看门狗驱动已加载。
2. 从核 Fail-Safe 自愈逻辑处于监听状态。</t>
        </is>
      </c>
      <c r="D21" s="8" t="inlineStr">
        <is>
          <t>1. 模拟主核异常挂死导致心跳中断，监测从核接管与看门狗冷重启反应。</t>
        </is>
      </c>
      <c r="E21" s="8" t="inlineStr">
        <is>
          <t>1. 心跳中断 2s 后从核接管并停止向 WDT 喂狗。
2. 停止喂狗 10s 后 WDT 超时溢出，硬件强制复位芯片冷重启系统。</t>
        </is>
      </c>
      <c r="F21" s="7" t="inlineStr">
        <is>
          <t>Pass。主核宕机后从核瞬间接管，WDT 超时 10s 后芯片执行硬件 cold reset 成功冷重启并恢复自愈。</t>
        </is>
      </c>
      <c r="G21" s="15" t="n"/>
    </row>
    <row r="22" s="4">
      <c r="A22" s="7" t="inlineStr">
        <is>
          <t>TC-14</t>
        </is>
      </c>
      <c r="B22" s="7" t="inlineStr">
        <is>
          <t>智能安全顾问模块</t>
        </is>
      </c>
      <c r="C22" s="8" t="inlineStr">
        <is>
          <t>1. 系统网络畅通且配置了 DeepSeek API Key。
2. 滑动窗口与 UI 日志渲染激活。</t>
        </is>
      </c>
      <c r="D22" s="8" t="inlineStr">
        <is>
          <t>1. 触发违规，观察 DeepSeek 异步调用、整改建议及 UI 字符表现（规避表情符号）。
2. 在 10s 内连续触发多次违规，观察数量聚合表现。</t>
        </is>
      </c>
      <c r="E22" s="8" t="inlineStr">
        <is>
          <t>1. 异步返回整改建议，无表情符方框乱码，平均延迟 &lt; 2s。
2. 10s 滑动时间窗口内的违规事件成功在左下角进行数量聚合。</t>
        </is>
      </c>
      <c r="F22" s="7" t="inlineStr">
        <is>
          <t>Pass。DeepSeek API 成功异步接入且无 UI 乱码方框，滑动窗口违规事件数量聚合展示正常。</t>
        </is>
      </c>
      <c r="G22" s="14">
        <f>_xlfn.DISPIMG("ID_FCE31C0D9DAB4076A916FF649E50AA12",1)</f>
        <v/>
      </c>
      <c r="H22" s="16">
        <f>_xlfn.DISPIMG("ID_B3F92420C4A14E358C5A8D6CBE2B6619",1)</f>
        <v/>
      </c>
    </row>
  </sheetData>
  <mergeCells count="29">
    <mergeCell ref="B3:B4"/>
    <mergeCell ref="A7:A8"/>
    <mergeCell ref="B11:B12"/>
    <mergeCell ref="F3:F4"/>
    <mergeCell ref="G7:G8"/>
    <mergeCell ref="F5:F6"/>
    <mergeCell ref="C9:C10"/>
    <mergeCell ref="B13:B14"/>
    <mergeCell ref="A3:A4"/>
    <mergeCell ref="C11:C12"/>
    <mergeCell ref="B19:B20"/>
    <mergeCell ref="A5:A6"/>
    <mergeCell ref="F13:F14"/>
    <mergeCell ref="B9:B10"/>
    <mergeCell ref="F9:F10"/>
    <mergeCell ref="A13:A14"/>
    <mergeCell ref="C7:C8"/>
    <mergeCell ref="F11:F12"/>
    <mergeCell ref="B5:B6"/>
    <mergeCell ref="A19:A20"/>
    <mergeCell ref="C13:C14"/>
    <mergeCell ref="C19:C20"/>
    <mergeCell ref="F19:F20"/>
    <mergeCell ref="A9:A10"/>
    <mergeCell ref="C3:C4"/>
    <mergeCell ref="B7:B8"/>
    <mergeCell ref="F7:F8"/>
    <mergeCell ref="A11:A12"/>
    <mergeCell ref="C5:C6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Hola</dc:creator>
  <dcterms:created xmlns:dcterms="http://purl.org/dc/terms/" xmlns:xsi="http://www.w3.org/2001/XMLSchema-instance" xsi:type="dcterms:W3CDTF">2026-04-26T12:29:00Z</dcterms:created>
  <dcterms:modified xmlns:dcterms="http://purl.org/dc/terms/" xmlns:xsi="http://www.w3.org/2001/XMLSchema-instance" xsi:type="dcterms:W3CDTF">2026-07-05T07:13:07Z</dcterms:modified>
  <cp:lastModifiedBy>寒卍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8A1B0DD5347341F6B1E20EEB599E3A15_13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