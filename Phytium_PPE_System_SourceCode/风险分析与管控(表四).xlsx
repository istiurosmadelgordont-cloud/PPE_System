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b7964713f954f6e" /></Relationships>
</file>

<file path=xl/workbook.xml><?xml version="1.0" encoding="utf-8"?>
<x:workbook xmlns:x="http://schemas.openxmlformats.org/spreadsheetml/2006/main">
  <x:sheets>
    <x:sheet xmlns:r="http://schemas.openxmlformats.org/officeDocument/2006/relationships" name="Sheet1" sheetId="1" r:id="Rf07e1f4dc73b4352"/>
  </x:sheets>
</x:workbook>
</file>

<file path=xl/sharedStrings.xml><?xml version="1.0" encoding="utf-8"?>
<x:sst xmlns:x="http://schemas.openxmlformats.org/spreadsheetml/2006/main">
  <x:si>
    <x:t xml:space="preserve">功能项 (模块及需求)</x:t>
  </x:si>
  <x:si>
    <x:t xml:space="preserve">风险项分析</x:t>
  </x:si>
  <x:si>
    <x:r>
      <x:rPr>
        <x:b/>
        <x:sz val="11"/>
        <x:rFont val="宋体"/>
      </x:rPr>
      <x:t xml:space="preserve">控制措施</x:t>
    </x:r>
  </x:si>
  <x:si>
    <x:t xml:space="preserve">验证测试措施（FIT故障注入）</x:t>
  </x:si>
  <x:si>
    <x:t xml:space="preserve">演示图片/视频</x:t>
  </x:si>
  <x:si>
    <x:r>
      <x:rPr>
        <x:b/>
        <x:sz val="11"/>
        <x:rFont val="宋体"/>
      </x:rPr>
      <x:t xml:space="preserve">视频流采集模块</x:t>
    </x:r>
    <x:r>
      <x:rPr>
        <x:i/>
        <x:sz val="11"/>
        <x:rFont val="宋体"/>
      </x:rPr>
      <x:t xml:space="preserve">
（REQ-01， REQ-02）</x:t>
    </x:r>
  </x:si>
  <x:si>
    <x:r>
      <x:rPr>
        <x:sz val="11"/>
        <x:color theme="1"/>
        <x:rFont val="宋体"/>
      </x:rPr>
      <x:t xml:space="preserve">通过网盘分享的文件：微信视频</x:t>
    </x:r>
    <x:r>
      <x:rPr>
        <x:sz val="11"/>
        <x:color theme="1"/>
        <x:rFont val="Calibri"/>
      </x:rPr>
      <x:t xml:space="preserve">2026-07-14_101549_398.mp4
</x:t>
    </x:r>
    <x:r>
      <x:rPr>
        <x:sz val="11"/>
        <x:color theme="1"/>
        <x:rFont val="宋体"/>
      </x:rPr>
      <x:t xml:space="preserve">链接</x:t>
    </x:r>
    <x:r>
      <x:rPr>
        <x:sz val="11"/>
        <x:color theme="1"/>
        <x:rFont val="Calibri"/>
      </x:rPr>
      <x:t xml:space="preserve">: https://pan.baidu.com/s/1EKDgeJPIf0x-VqA-OFZDqQ?pwd=cjia </x:t>
    </x:r>
    <x:r>
      <x:rPr>
        <x:sz val="11"/>
        <x:color theme="1"/>
        <x:rFont val="宋体"/>
      </x:rPr>
      <x:t xml:space="preserve">提取码</x:t>
    </x:r>
    <x:r>
      <x:rPr>
        <x:sz val="11"/>
        <x:color theme="1"/>
        <x:rFont val="Calibri"/>
      </x:rPr>
      <x:t xml:space="preserve">: cjia 
--</x:t>
    </x:r>
    <x:r>
      <x:rPr>
        <x:sz val="11"/>
        <x:color theme="1"/>
        <x:rFont val="宋体"/>
      </x:rPr>
      <x:t xml:space="preserve">来自百度网盘超级会员</x:t>
    </x:r>
    <x:r>
      <x:rPr>
        <x:sz val="11"/>
        <x:color theme="1"/>
        <x:rFont val="Calibri"/>
      </x:rPr>
      <x:t xml:space="preserve">v3</x:t>
    </x:r>
    <x:r>
      <x:rPr>
        <x:sz val="11"/>
        <x:color theme="1"/>
        <x:rFont val="宋体"/>
      </x:rPr>
      <x:t xml:space="preserve">的分享</x:t>
    </x:r>
  </x:si>
  <x:si>
    <x:r>
      <x:rPr>
        <x:b/>
        <x:sz val="11"/>
        <x:rFont val="宋体"/>
      </x:rPr>
      <x:t xml:space="preserve">数据总线模块</x:t>
    </x:r>
    <x:r>
      <x:rPr>
        <x:i/>
        <x:sz val="11"/>
        <x:rFont val="宋体"/>
      </x:rPr>
      <x:t xml:space="preserve">
（REQ-03）</x:t>
    </x:r>
  </x:si>
  <x:si>
    <x:r>
      <x:rPr>
        <x:b/>
        <x:sz val="11"/>
        <x:rFont val="宋体"/>
      </x:rPr>
      <x:t xml:space="preserve">AI视觉推理模块</x:t>
    </x:r>
    <x:r>
      <x:rPr>
        <x:i/>
        <x:sz val="11"/>
        <x:rFont val="宋体"/>
      </x:rPr>
      <x:t xml:space="preserve">
（REQ-04， REQ-05）</x:t>
    </x:r>
  </x:si>
  <x:si>
    <x:r>
      <x:rPr>
        <x:b/>
        <x:sz val="11"/>
        <x:rFont val="宋体"/>
      </x:rPr>
      <x:t xml:space="preserve">软硬联动与环境检测</x:t>
    </x:r>
    <x:r>
      <x:rPr>
        <x:i/>
        <x:sz val="11"/>
        <x:rFont val="宋体"/>
      </x:rPr>
      <x:t xml:space="preserve">
（硬件层面）
（REQ-06， REQ-07）</x:t>
    </x:r>
  </x:si>
  <x:si>
    <x:r>
      <x:rPr>
        <x:b/>
        <x:sz val="11"/>
        <x:rFont val="宋体"/>
      </x:rPr>
      <x:t xml:space="preserve">软硬联动与环境检测</x:t>
    </x:r>
    <x:r>
      <x:rPr>
        <x:i/>
        <x:sz val="11"/>
        <x:rFont val="宋体"/>
      </x:rPr>
      <x:t xml:space="preserve">
（软件层面）</x:t>
    </x:r>
    <x:r>
      <x:rPr>
        <x:i/>
        <x:sz val="11"/>
        <x:rFont val="宋体"/>
      </x:rPr>
      <x:t xml:space="preserve">
（REQ-06， REQ-07）</x:t>
    </x:r>
  </x:si>
  <x:si>
    <x:r>
      <x:rPr>
        <x:b/>
        <x:sz val="11"/>
        <x:rFont val="宋体"/>
      </x:rPr>
      <x:t xml:space="preserve">UI交互渲染模块</x:t>
    </x:r>
    <x:r>
      <x:rPr>
        <x:i/>
        <x:sz val="11"/>
        <x:rFont val="宋体"/>
      </x:rPr>
      <x:t xml:space="preserve">
（REQ-08， REQ-09）</x:t>
    </x:r>
  </x:si>
  <x:si>
    <x:r>
      <x:rPr>
        <x:b/>
        <x:sz val="11"/>
        <x:rFont val="宋体"/>
      </x:rPr>
      <x:t xml:space="preserve">本地存储模块</x:t>
    </x:r>
    <x:r>
      <x:rPr>
        <x:i/>
        <x:sz val="11"/>
        <x:rFont val="宋体"/>
      </x:rPr>
      <x:t xml:space="preserve">
（REQ-10， REQ-11）</x:t>
    </x:r>
  </x:si>
  <x:si>
    <x:r>
      <x:rPr>
        <x:b/>
        <x:sz val="11"/>
        <x:rFont val="宋体"/>
      </x:rPr>
      <x:t xml:space="preserve">安全可靠性保障模块</x:t>
    </x:r>
    <x:r>
      <x:rPr>
        <x:i/>
        <x:sz val="11"/>
        <x:rFont val="宋体"/>
      </x:rPr>
      <x:t xml:space="preserve">
（REQ-12， REQ-13）</x:t>
    </x:r>
  </x:si>
  <x:si>
    <x:r>
      <x:rPr>
        <x:sz val="11"/>
        <x:color theme="1"/>
        <x:rFont val="宋体"/>
      </x:rPr>
      <x:t xml:space="preserve">通过网盘分享的文件：微信视频</x:t>
    </x:r>
    <x:r>
      <x:rPr>
        <x:sz val="11"/>
        <x:color theme="1"/>
        <x:rFont val="Calibri"/>
      </x:rPr>
      <x:t xml:space="preserve">2026-07-10_200609_311.mp4
</x:t>
    </x:r>
    <x:r>
      <x:rPr>
        <x:sz val="11"/>
        <x:color theme="1"/>
        <x:rFont val="宋体"/>
      </x:rPr>
      <x:t xml:space="preserve">链接</x:t>
    </x:r>
    <x:r>
      <x:rPr>
        <x:sz val="11"/>
        <x:color theme="1"/>
        <x:rFont val="Calibri"/>
      </x:rPr>
      <x:t xml:space="preserve">: https://pan.baidu.com/s/1SvYIQYv1hNPI29ISv4RGJA?pwd=fh2t </x:t>
    </x:r>
    <x:r>
      <x:rPr>
        <x:sz val="11"/>
        <x:color theme="1"/>
        <x:rFont val="宋体"/>
      </x:rPr>
      <x:t xml:space="preserve">提取码</x:t>
    </x:r>
    <x:r>
      <x:rPr>
        <x:sz val="11"/>
        <x:color theme="1"/>
        <x:rFont val="Calibri"/>
      </x:rPr>
      <x:t xml:space="preserve">: fh2t 
--</x:t>
    </x:r>
    <x:r>
      <x:rPr>
        <x:sz val="11"/>
        <x:color theme="1"/>
        <x:rFont val="宋体"/>
      </x:rPr>
      <x:t xml:space="preserve">来自百度网盘超级会员</x:t>
    </x:r>
    <x:r>
      <x:rPr>
        <x:sz val="11"/>
        <x:color theme="1"/>
        <x:rFont val="Calibri"/>
      </x:rPr>
      <x:t xml:space="preserve">v3</x:t>
    </x:r>
    <x:r>
      <x:rPr>
        <x:sz val="11"/>
        <x:color theme="1"/>
        <x:rFont val="宋体"/>
      </x:rPr>
      <x:t xml:space="preserve">的分享</x:t>
    </x:r>
  </x:si>
  <x:si>
    <x:r>
      <x:rPr>
        <x:b/>
        <x:sz val="11"/>
        <x:rFont val="宋体"/>
      </x:rPr>
      <x:t xml:space="preserve">智能安全顾问模块</x:t>
    </x:r>
    <x:r>
      <x:rPr>
        <x:i/>
        <x:sz val="11"/>
        <x:rFont val="宋体"/>
      </x:rPr>
      <x:t xml:space="preserve">
（REQ-14）</x:t>
    </x:r>
  </x:si>
</x:sst>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7">
    <x:font>
      <x:sz val="11"/>
      <x:color theme="1"/>
      <x:name val="Calibri"/>
    </x:font>
    <x:font>
      <x:b/>
      <x:sz val="11"/>
      <x:name val="宋体"/>
    </x:font>
    <x:font>
      <x:b/>
      <x:sz val="11"/>
      <x:color theme="1"/>
      <x:name val="宋体"/>
    </x:font>
    <x:font>
      <x:sz val="11"/>
      <x:name val="宋体"/>
    </x:font>
    <x:font>
      <x:sz val="11"/>
      <x:color theme="1"/>
      <x:name val="宋体"/>
    </x:font>
    <x:font>
      <x:sz val="11"/>
      <x:color theme="1"/>
      <x:name val="等线"/>
    </x:font>
    <x:font>
      <x:sz val="11"/>
      <x:color rgb="FF0000FF"/>
      <x:name val="等线"/>
    </x:font>
    <x:font>
      <x:sz val="11"/>
      <x:color rgb="FF800080"/>
      <x:name val="等线"/>
    </x:font>
    <x:font>
      <x:sz val="11"/>
      <x:color rgb="FFFF0000"/>
      <x:name val="等线"/>
    </x:font>
    <x:font>
      <x:b/>
      <x:sz val="18"/>
      <x:color theme="3"/>
      <x:name val="等线"/>
    </x:font>
    <x:font>
      <x:i/>
      <x:sz val="11"/>
      <x:color rgb="FF7F7F7F"/>
      <x:name val="等线"/>
    </x:font>
    <x:font>
      <x:b/>
      <x:sz val="15"/>
      <x:color theme="3"/>
      <x:name val="等线"/>
    </x:font>
    <x:font>
      <x:b/>
      <x:sz val="13"/>
      <x:color theme="3"/>
      <x:name val="等线"/>
    </x:font>
    <x:font>
      <x:b/>
      <x:sz val="11"/>
      <x:color theme="3"/>
      <x:name val="等线"/>
    </x:font>
    <x:font>
      <x:sz val="11"/>
      <x:color rgb="FF3F3F76"/>
      <x:name val="等线"/>
    </x:font>
    <x:font>
      <x:b/>
      <x:sz val="11"/>
      <x:color rgb="FF3F3F3F"/>
      <x:name val="等线"/>
    </x:font>
    <x:font>
      <x:b/>
      <x:sz val="11"/>
      <x:color rgb="FFFA7D00"/>
      <x:name val="等线"/>
    </x:font>
    <x:font>
      <x:b/>
      <x:sz val="11"/>
      <x:color rgb="FFFFFFFF"/>
      <x:name val="等线"/>
    </x:font>
    <x:font>
      <x:sz val="11"/>
      <x:color rgb="FFFA7D00"/>
      <x:name val="等线"/>
    </x:font>
    <x:font>
      <x:b/>
      <x:sz val="11"/>
      <x:color theme="1"/>
      <x:name val="等线"/>
    </x:font>
    <x:font>
      <x:sz val="11"/>
      <x:color rgb="FF006100"/>
      <x:name val="等线"/>
    </x:font>
    <x:font>
      <x:sz val="11"/>
      <x:color rgb="FF9C0006"/>
      <x:name val="等线"/>
    </x:font>
    <x:font>
      <x:sz val="11"/>
      <x:color rgb="FF9C6500"/>
      <x:name val="等线"/>
    </x:font>
    <x:font>
      <x:sz val="11"/>
      <x:color theme="0"/>
      <x:name val="等线"/>
    </x:font>
    <x:font>
      <x:sz val="11"/>
      <x:color theme="1"/>
      <x:name val="等线"/>
    </x:font>
    <x:font>
      <x:i/>
      <x:sz val="11"/>
      <x:name val="宋体"/>
    </x:font>
    <x:font>
      <x:b/>
      <x:sz val="11"/>
      <x:color theme="1"/>
      <x:name val="Calibri"/>
    </x:font>
  </x:fonts>
  <x:fills count="35">
    <x:fill>
      <x:patternFill patternType="none"/>
    </x:fill>
    <x:fill>
      <x:patternFill patternType="gray125"/>
    </x:fill>
    <x:fill>
      <x:patternFill patternType="solid">
        <x:fgColor theme="4" tint="0.4"/>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9DC3E6"/>
      </x:patternFill>
    </x:fill>
  </x:fills>
  <x:borders count="11">
    <x:border/>
    <x:border>
      <x:left style="thin">
        <x:color rgb="FF000000"/>
      </x:left>
      <x:right style="thin">
        <x:color rgb="FF000000"/>
      </x:right>
      <x:top style="thin">
        <x:color rgb="FF000000"/>
      </x:top>
      <x:bottom style="thin">
        <x:color rgb="FF000000"/>
      </x:bottom>
    </x:border>
    <x:border>
      <x:left style="thin">
        <x:color rgb="FF000000"/>
      </x:left>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49">
    <x:xf numFmtId="0" fontId="0" fillId="0" borderId="0"/>
    <x:xf numFmtId="43" fontId="5" fillId="0" borderId="0" applyFont="0" applyFill="0" applyBorder="0" applyAlignment="0" applyProtection="0">
      <x:alignment vertical="center"/>
    </x:xf>
    <x:xf numFmtId="44" fontId="5" fillId="0" borderId="0" applyFont="0" applyFill="0" applyBorder="0" applyAlignment="0" applyProtection="0">
      <x:alignment vertical="center"/>
    </x:xf>
    <x:xf numFmtId="9" fontId="5" fillId="0" borderId="0" applyFont="0" applyFill="0" applyBorder="0" applyAlignment="0" applyProtection="0">
      <x:alignment vertical="center"/>
    </x:xf>
    <x:xf numFmtId="41" fontId="5" fillId="0" borderId="0" applyFont="0" applyFill="0" applyBorder="0" applyAlignment="0" applyProtection="0">
      <x:alignment vertical="center"/>
    </x:xf>
    <x:xf numFmtId="42" fontId="5" fillId="0" borderId="0" applyFont="0" applyFill="0" applyBorder="0" applyAlignment="0" applyProtection="0">
      <x:alignment vertical="center"/>
    </x:xf>
    <x:xf numFmtId="0" fontId="6" fillId="0" borderId="0" applyNumberFormat="0" applyFill="0" applyBorder="0" applyAlignment="0" applyProtection="0">
      <x:alignment vertical="center"/>
    </x:xf>
    <x:xf numFmtId="0" fontId="7" fillId="0" borderId="0" applyNumberFormat="0" applyFill="0" applyBorder="0" applyAlignment="0" applyProtection="0">
      <x:alignment vertical="center"/>
    </x:xf>
    <x:xf numFmtId="0" fontId="5" fillId="3" borderId="3" applyNumberFormat="0" applyFont="0" applyAlignment="0" applyProtection="0">
      <x:alignment vertical="center"/>
    </x:xf>
    <x:xf numFmtId="0" fontId="8" fillId="0" borderId="0" applyNumberFormat="0" applyFill="0" applyBorder="0" applyAlignment="0" applyProtection="0">
      <x:alignment vertical="center"/>
    </x:xf>
    <x:xf numFmtId="0" fontId="9" fillId="0" borderId="0" applyNumberFormat="0" applyFill="0" applyBorder="0" applyAlignment="0" applyProtection="0">
      <x:alignment vertical="center"/>
    </x:xf>
    <x:xf numFmtId="0" fontId="10" fillId="0" borderId="0" applyNumberFormat="0" applyFill="0" applyBorder="0" applyAlignment="0" applyProtection="0">
      <x:alignment vertical="center"/>
    </x:xf>
    <x:xf numFmtId="0" fontId="11" fillId="0" borderId="4" applyNumberFormat="0" applyFill="0" applyAlignment="0" applyProtection="0">
      <x:alignment vertical="center"/>
    </x:xf>
    <x:xf numFmtId="0" fontId="12" fillId="0" borderId="4" applyNumberFormat="0" applyFill="0" applyAlignment="0" applyProtection="0">
      <x:alignment vertical="center"/>
    </x:xf>
    <x:xf numFmtId="0" fontId="13" fillId="0" borderId="5" applyNumberFormat="0" applyFill="0" applyAlignment="0" applyProtection="0">
      <x:alignment vertical="center"/>
    </x:xf>
    <x:xf numFmtId="0" fontId="13" fillId="0" borderId="0" applyNumberFormat="0" applyFill="0" applyBorder="0" applyAlignment="0" applyProtection="0">
      <x:alignment vertical="center"/>
    </x:xf>
    <x:xf numFmtId="0" fontId="14" fillId="4" borderId="6" applyNumberFormat="0" applyAlignment="0" applyProtection="0">
      <x:alignment vertical="center"/>
    </x:xf>
    <x:xf numFmtId="0" fontId="15" fillId="5" borderId="7" applyNumberFormat="0" applyAlignment="0" applyProtection="0">
      <x:alignment vertical="center"/>
    </x:xf>
    <x:xf numFmtId="0" fontId="16" fillId="5" borderId="6" applyNumberFormat="0" applyAlignment="0" applyProtection="0">
      <x:alignment vertical="center"/>
    </x:xf>
    <x:xf numFmtId="0" fontId="17" fillId="6" borderId="8" applyNumberFormat="0" applyAlignment="0" applyProtection="0">
      <x:alignment vertical="center"/>
    </x:xf>
    <x:xf numFmtId="0" fontId="18" fillId="0" borderId="9" applyNumberFormat="0" applyFill="0" applyAlignment="0" applyProtection="0">
      <x:alignment vertical="center"/>
    </x:xf>
    <x:xf numFmtId="0" fontId="19" fillId="0" borderId="10" applyNumberFormat="0" applyFill="0" applyAlignment="0" applyProtection="0">
      <x:alignment vertical="center"/>
    </x:xf>
    <x:xf numFmtId="0" fontId="20" fillId="7" borderId="0" applyNumberFormat="0" applyBorder="0" applyAlignment="0" applyProtection="0">
      <x:alignment vertical="center"/>
    </x:xf>
    <x:xf numFmtId="0" fontId="21" fillId="8" borderId="0" applyNumberFormat="0" applyBorder="0" applyAlignment="0" applyProtection="0">
      <x:alignment vertical="center"/>
    </x:xf>
    <x:xf numFmtId="0" fontId="22" fillId="9" borderId="0" applyNumberFormat="0" applyBorder="0" applyAlignment="0" applyProtection="0">
      <x:alignment vertical="center"/>
    </x:xf>
    <x:xf numFmtId="0" fontId="23" fillId="10" borderId="0" applyNumberFormat="0" applyBorder="0" applyAlignment="0" applyProtection="0">
      <x:alignment vertical="center"/>
    </x:xf>
    <x:xf numFmtId="0" fontId="24" fillId="11" borderId="0" applyNumberFormat="0" applyBorder="0" applyAlignment="0" applyProtection="0">
      <x:alignment vertical="center"/>
    </x:xf>
    <x:xf numFmtId="0" fontId="24" fillId="12" borderId="0" applyNumberFormat="0" applyBorder="0" applyAlignment="0" applyProtection="0">
      <x:alignment vertical="center"/>
    </x:xf>
    <x:xf numFmtId="0" fontId="23" fillId="13" borderId="0" applyNumberFormat="0" applyBorder="0" applyAlignment="0" applyProtection="0">
      <x:alignment vertical="center"/>
    </x:xf>
    <x:xf numFmtId="0" fontId="23" fillId="14" borderId="0" applyNumberFormat="0" applyBorder="0" applyAlignment="0" applyProtection="0">
      <x:alignment vertical="center"/>
    </x:xf>
    <x:xf numFmtId="0" fontId="24" fillId="15" borderId="0" applyNumberFormat="0" applyBorder="0" applyAlignment="0" applyProtection="0">
      <x:alignment vertical="center"/>
    </x:xf>
    <x:xf numFmtId="0" fontId="24" fillId="16" borderId="0" applyNumberFormat="0" applyBorder="0" applyAlignment="0" applyProtection="0">
      <x:alignment vertical="center"/>
    </x:xf>
    <x:xf numFmtId="0" fontId="23" fillId="17" borderId="0" applyNumberFormat="0" applyBorder="0" applyAlignment="0" applyProtection="0">
      <x:alignment vertical="center"/>
    </x:xf>
    <x:xf numFmtId="0" fontId="23" fillId="18" borderId="0" applyNumberFormat="0" applyBorder="0" applyAlignment="0" applyProtection="0">
      <x:alignment vertical="center"/>
    </x:xf>
    <x:xf numFmtId="0" fontId="24" fillId="19" borderId="0" applyNumberFormat="0" applyBorder="0" applyAlignment="0" applyProtection="0">
      <x:alignment vertical="center"/>
    </x:xf>
    <x:xf numFmtId="0" fontId="24" fillId="20" borderId="0" applyNumberFormat="0" applyBorder="0" applyAlignment="0" applyProtection="0">
      <x:alignment vertical="center"/>
    </x:xf>
    <x:xf numFmtId="0" fontId="23" fillId="21" borderId="0" applyNumberFormat="0" applyBorder="0" applyAlignment="0" applyProtection="0">
      <x:alignment vertical="center"/>
    </x:xf>
    <x:xf numFmtId="0" fontId="23" fillId="22" borderId="0" applyNumberFormat="0" applyBorder="0" applyAlignment="0" applyProtection="0">
      <x:alignment vertical="center"/>
    </x:xf>
    <x:xf numFmtId="0" fontId="24" fillId="23" borderId="0" applyNumberFormat="0" applyBorder="0" applyAlignment="0" applyProtection="0">
      <x:alignment vertical="center"/>
    </x:xf>
    <x:xf numFmtId="0" fontId="24" fillId="24" borderId="0" applyNumberFormat="0" applyBorder="0" applyAlignment="0" applyProtection="0">
      <x:alignment vertical="center"/>
    </x:xf>
    <x:xf numFmtId="0" fontId="23" fillId="25" borderId="0" applyNumberFormat="0" applyBorder="0" applyAlignment="0" applyProtection="0">
      <x:alignment vertical="center"/>
    </x:xf>
    <x:xf numFmtId="0" fontId="23" fillId="26" borderId="0" applyNumberFormat="0" applyBorder="0" applyAlignment="0" applyProtection="0">
      <x:alignment vertical="center"/>
    </x:xf>
    <x:xf numFmtId="0" fontId="24" fillId="27" borderId="0" applyNumberFormat="0" applyBorder="0" applyAlignment="0" applyProtection="0">
      <x:alignment vertical="center"/>
    </x:xf>
    <x:xf numFmtId="0" fontId="24" fillId="28" borderId="0" applyNumberFormat="0" applyBorder="0" applyAlignment="0" applyProtection="0">
      <x:alignment vertical="center"/>
    </x:xf>
    <x:xf numFmtId="0" fontId="23" fillId="29" borderId="0" applyNumberFormat="0" applyBorder="0" applyAlignment="0" applyProtection="0">
      <x:alignment vertical="center"/>
    </x:xf>
    <x:xf numFmtId="0" fontId="23" fillId="30" borderId="0" applyNumberFormat="0" applyBorder="0" applyAlignment="0" applyProtection="0">
      <x:alignment vertical="center"/>
    </x:xf>
    <x:xf numFmtId="0" fontId="24" fillId="31" borderId="0" applyNumberFormat="0" applyBorder="0" applyAlignment="0" applyProtection="0">
      <x:alignment vertical="center"/>
    </x:xf>
    <x:xf numFmtId="0" fontId="24" fillId="32" borderId="0" applyNumberFormat="0" applyBorder="0" applyAlignment="0" applyProtection="0">
      <x:alignment vertical="center"/>
    </x:xf>
    <x:xf numFmtId="0" fontId="23" fillId="33" borderId="0" applyNumberFormat="0" applyBorder="0" applyAlignment="0" applyProtection="0">
      <x:alignment vertical="center"/>
    </x:xf>
  </x:cellStyleXfs>
  <x:cellXfs count="29">
    <x:xf numFmtId="0" fontId="0" fillId="0" borderId="0" xfId="0"/>
    <x:xf numFmtId="0" fontId="1" fillId="2" borderId="1" xfId="0" applyFont="1" applyFill="1" applyBorder="1" applyAlignment="1">
      <x:alignment horizontal="center" vertical="center" wrapText="1"/>
    </x:xf>
    <x:xf numFmtId="0" fontId="0" fillId="2" borderId="1" xfId="0" applyFill="1" applyBorder="1" applyAlignment="1">
      <x:alignment horizontal="center" vertical="center" wrapText="1"/>
    </x:xf>
    <x:xf numFmtId="0" fontId="2" fillId="2" borderId="2" xfId="0" applyFont="1" applyFill="1" applyBorder="1" applyAlignment="1">
      <x:alignment horizontal="center" vertical="center" wrapText="1"/>
    </x:xf>
    <x:xf numFmtId="0" fontId="2" fillId="2" borderId="0" xfId="0" applyFont="1" applyFill="1" applyAlignment="1">
      <x:alignment horizontal="center" vertical="center" wrapText="1"/>
    </x:xf>
    <x:xf numFmtId="0" fontId="1" fillId="0" borderId="1" xfId="0" applyFont="1" applyFill="1" applyBorder="1" applyAlignment="1">
      <x:alignment horizontal="center" vertical="center" wrapText="1"/>
    </x:xf>
    <x:xf numFmtId="0" fontId="3" fillId="0" borderId="1" xfId="0" applyFont="1" applyFill="1" applyBorder="1" applyAlignment="1">
      <x:alignment horizontal="center" vertical="center" wrapText="1"/>
    </x:xf>
    <x:xf numFmtId="0" fontId="0" fillId="0" borderId="1" xfId="0" applyBorder="1" applyAlignment="1">
      <x:alignment horizontal="center" vertical="center" wrapText="1"/>
    </x:xf>
    <x:xf numFmtId="0" fontId="4" fillId="0" borderId="0" xfId="0" applyFont="1" applyAlignment="1">
      <x:alignment horizontal="center" vertical="center" wrapText="1"/>
    </x:xf>
    <x:xf numFmtId="0" fontId="0" fillId="0" borderId="0" xfId="0" applyAlignment="1">
      <x:alignment horizontal="center" vertical="center"/>
    </x:xf>
    <x:xf numFmtId="0" fontId="0" fillId="0" borderId="0" xfId="0" applyAlignment="1">
      <x:alignment horizontal="center"/>
    </x:xf>
    <x:xf numFmtId="0" fontId="0" fillId="0" borderId="1" xfId="0" applyFill="1" applyBorder="1" applyAlignment="1">
      <x:alignment horizontal="center" vertical="center" wrapText="1"/>
    </x:xf>
    <x:xf numFmtId="0" fontId="1" fillId="0" borderId="1" xfId="0" applyFont="1" applyBorder="1" applyAlignment="1">
      <x:alignment horizontal="center" vertical="center" wrapText="1"/>
    </x:xf>
    <x:xf numFmtId="0" fontId="1" fillId="2" borderId="1" xfId="0" applyNumberFormat="1" applyFont="1" applyFill="1" applyBorder="1" applyAlignment="1">
      <x:alignment horizontal="center" vertical="center" wrapText="1"/>
    </x:xf>
    <x:xf numFmtId="0" fontId="0" fillId="2" borderId="1" xfId="0" applyNumberFormat="1" applyFont="1" applyFill="1" applyBorder="1" applyAlignment="1">
      <x:alignment horizontal="center" vertical="center" wrapText="1"/>
    </x:xf>
    <x:xf numFmtId="0" fontId="2" fillId="2" borderId="2" xfId="0" applyNumberFormat="1" applyFont="1" applyFill="1" applyBorder="1" applyAlignment="1">
      <x:alignment horizontal="center" vertical="center" wrapText="1"/>
    </x:xf>
    <x:xf numFmtId="0" fontId="2" fillId="2" borderId="0" xfId="0" applyNumberFormat="1" applyFont="1" applyFill="1" applyBorder="1" applyAlignment="1">
      <x:alignment horizontal="center" vertical="center" wrapText="1"/>
    </x:xf>
    <x:xf numFmtId="0" fontId="1" fillId="0" borderId="1" xfId="0" applyNumberFormat="1" applyFont="1" applyFill="1" applyBorder="1" applyAlignment="1">
      <x:alignment horizontal="center" vertical="center" wrapText="1"/>
    </x:xf>
    <x:xf numFmtId="0" fontId="3" fillId="0" borderId="1" xfId="0" applyNumberFormat="1" applyFont="1" applyFill="1" applyBorder="1" applyAlignment="1">
      <x:alignment horizontal="center" vertical="center" wrapText="1"/>
    </x:xf>
    <x:xf numFmtId="0" fontId="0" fillId="0" borderId="1" xfId="0" applyNumberFormat="1" applyFont="1" applyFill="1" applyBorder="1" applyAlignment="1">
      <x:alignment horizontal="center" vertical="center" wrapText="1"/>
    </x:xf>
    <x:xf numFmtId="0" fontId="4"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vertical="center"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0" fontId="0" fillId="34" borderId="1" xfId="0" applyNumberFormat="1" applyFont="1" applyFill="1" applyBorder="1" applyAlignment="1">
      <x:alignment vertical="center" wrapText="1"/>
    </x:xf>
    <x:xf numFmtId="0" fontId="26" fillId="34" borderId="1" xfId="0" applyNumberFormat="1" applyFont="1" applyFill="1" applyBorder="1" applyAlignment="1">
      <x:alignment vertical="center" wrapText="1"/>
    </x:xf>
    <x:xf numFmtId="0" fontId="26" fillId="34" borderId="1" xfId="0" applyNumberFormat="1" applyFont="1" applyFill="1" applyBorder="1" applyAlignment="1">
      <x:alignment horizontal="center" vertical="center" wrapText="1"/>
    </x:xf>
  </x:cellXfs>
  <x:cellStyles count="49">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s>
</x:styleSheet>
</file>

<file path=xl/_rels/workbook.xml.rels>&#65279;<?xml version="1.0" encoding="utf-8"?><Relationships xmlns="http://schemas.openxmlformats.org/package/2006/relationships"><Relationship Type="http://schemas.openxmlformats.org/officeDocument/2006/relationships/styles" Target="/xl/styles.xml" Id="R848c458be1ff4011" /><Relationship Type="http://schemas.openxmlformats.org/officeDocument/2006/relationships/theme" Target="/xl/theme/theme1.xml" Id="R494ad5f200354373" /><Relationship Type="http://schemas.openxmlformats.org/officeDocument/2006/relationships/sharedStrings" Target="/xl/sharedStrings.xml" Id="R3d3f945cacb348ef" /><Relationship Type="http://schemas.openxmlformats.org/officeDocument/2006/relationships/worksheet" Target="/xl/worksheets/sheet1.xml" Id="Rf07e1f4dc73b435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4.5"/>
  <x:cols>
    <x:col min="1" max="1" width="27.799999237060547" customWidth="1"/>
    <x:col min="2" max="2" width="59" customWidth="1"/>
    <x:col min="3" max="3" width="76.25454711914062" customWidth="1"/>
    <x:col min="4" max="4" width="75.0727310180664" customWidth="1"/>
  </x:cols>
  <x:sheetData>
    <x:row r="1" ht="32" customHeight="1">
      <x:c r="A1" s="13" t="s">
        <x:v>0</x:v>
      </x:c>
      <x:c r="B1" s="13" t="s">
        <x:v>1</x:v>
      </x:c>
      <x:c r="C1" s="14" t="s">
        <x:v>2</x:v>
      </x:c>
      <x:c r="D1" s="13" t="s">
        <x:v>3</x:v>
      </x:c>
      <x:c r="E1" s="15" t="s">
        <x:v>4</x:v>
      </x:c>
      <x:c r="F1" s="16"/>
      <x:c r="G1" s="16"/>
      <x:c r="H1" s="16"/>
      <x:c r="I1" s="16"/>
      <x:c r="J1" s="16"/>
      <x:c r="K1" s="16"/>
      <x:c r="L1" s="16"/>
      <x:c r="M1" s="16"/>
      <x:c r="N1" s="4"/>
      <x:c r="O1" s="4"/>
      <x:c r="P1" s="4"/>
      <x:c r="Q1" s="4"/>
      <x:c r="R1" s="4"/>
      <x:c r="S1" s="4"/>
      <x:c r="T1" s="4"/>
    </x:row>
    <x:row r="2" ht="52.79999923706055" customHeight="1">
      <x:c r="A2" s="13" t="s">
        <x:v>5</x:v>
      </x:c>
      <x:c r="B2" s="17" t="str">
        <x:v>摄像头物理脱落、驱动异常或视频流连续空帧</x:v>
      </x:c>
      <x:c r="C2" s="18" t="str">
        <x:v>系统监测V4L2视频流状态。摄像头打开失败或连续3秒无法读取有效帧时，释放异常句柄并重新连接物理摄像头，同时在UI显示掉线状态；用户仍可手动导入本地视频进行离线分析。</x:v>
      </x:c>
      <x:c r="D2" s="19" t="str">
        <x:v>[物理断线与恢复测试]系统正常运行时拔出USB摄像头，验证UI显示断线并持续尝试重连；重新插入摄像头后，验证实时画面能够自动恢复。</x:v>
      </x:c>
      <x:c r="E2" s="20" t="s">
        <x:v>6</x:v>
      </x:c>
      <x:c r="F2" s="21"/>
      <x:c r="G2" s="21"/>
      <x:c r="H2" s="21"/>
      <x:c r="I2" s="21"/>
      <x:c r="J2" s="21"/>
      <x:c r="K2" s="21"/>
      <x:c r="L2" s="21"/>
      <x:c r="M2" s="21"/>
      <x:c r="N2" s="10"/>
      <x:c r="O2" s="10"/>
      <x:c r="P2" s="10"/>
      <x:c r="Q2" s="10"/>
      <x:c r="R2" s="10"/>
      <x:c r="S2" s="10"/>
      <x:c r="T2" s="10"/>
    </x:row>
    <x:row r="3" ht="99" customHeight="1">
      <x:c r="A3" s="13" t="s">
        <x:v>7</x:v>
      </x:c>
      <x:c r="B3" s="19" t="str">
        <x:v>跨线程视频帧传递发生竞争、阻塞或队列积压</x:v>
      </x:c>
      <x:c r="C3" s="19" t="str">
        <x:v>视频采集与推理之间采用基于C++11原子操作和Acquire/Release内存序的SPSC无锁环形队列，避免该数据通道中的互斥锁等待；队列满载时丢弃新帧，防止延迟持续累积。</x:v>
      </x:c>
      <x:c r="D3" s="19" t="str">
        <x:v>[高负荷压测]使用htop与taskset检查线程亲和性，连续高负荷运行4小时，并验证队列满载时按策略丢弃新帧，系统无死锁、异常阻塞或崩溃。</x:v>
      </x:c>
      <x:c r="E3" s="21" t="e">
        <x:f>_xlfn.DISPIMG("ID_A74D395024D24406BB93FF1B78FF3E70",1)</x:f>
        <x:v>#NAME?</x:v>
      </x:c>
      <x:c r="F3" s="21"/>
      <x:c r="G3" s="21"/>
      <x:c r="H3" s="21"/>
      <x:c r="I3" s="21"/>
      <x:c r="J3" s="21"/>
      <x:c r="K3" s="21"/>
      <x:c r="L3" s="21"/>
      <x:c r="M3" s="21"/>
      <x:c r="N3" s="10"/>
      <x:c r="O3" s="10"/>
      <x:c r="P3" s="10"/>
      <x:c r="Q3" s="10"/>
      <x:c r="R3" s="10"/>
      <x:c r="S3" s="10"/>
      <x:c r="T3" s="10"/>
    </x:row>
    <x:row r="4" ht="93" customHeight="1">
      <x:c r="A4" s="14" t="s">
        <x:v>8</x:v>
      </x:c>
      <x:c r="B4" s="19" t="str">
        <x:v>INT8推理模型文件缺失、损坏或完整性校验失败</x:v>
      </x:c>
      <x:c r="C4" s="19" t="str">
        <x:v>系统启动时对模型参数和权重执行MD5完整性校验。校验失败时调用pull_model.sh拉取预设远程模型并再次校验；校验成功后继续加载，仍失败则安全停止推理并输出错误信息。</x:v>
      </x:c>
      <x:c r="D4" s="19" t="str">
        <x:v>[模型破坏测试]分别删除或修改本地模型文件，验证系统能够识别MD5异常、触发远程拉取并再次校验；修复成功后继续加载，二次校验失败时安全停止推理。</x:v>
      </x:c>
      <x:c r="E4" s="21" t="e">
        <x:f>_xlfn.DISPIMG("ID_2573EE2E72B447D2B0F4B8D45FFEAA82",1)</x:f>
        <x:v>#NAME?</x:v>
      </x:c>
      <x:c r="F4" s="21"/>
      <x:c r="G4" s="21"/>
      <x:c r="H4" s="21"/>
      <x:c r="I4" s="21"/>
      <x:c r="J4" s="21"/>
      <x:c r="K4" s="21"/>
      <x:c r="L4" s="21"/>
      <x:c r="M4" s="21"/>
      <x:c r="N4" s="10"/>
      <x:c r="O4" s="10"/>
      <x:c r="P4" s="10"/>
      <x:c r="Q4" s="10"/>
      <x:c r="R4" s="10"/>
      <x:c r="S4" s="10"/>
      <x:c r="T4" s="10"/>
    </x:row>
    <x:row r="5" ht="89" customHeight="1">
      <x:c r="A5" s="13" t="s">
        <x:v>9</x:v>
      </x:c>
      <x:c r="B5" s="17" t="str">
        <x:v>火焰、气体或温湿度传感器接线松动、断开或无有效响应</x:v>
      </x:c>
      <x:c r="C5" s="17" t="str">
        <x:v>Bare-metal Core1周期执行传感器自检：火焰与气体输入通过上下拉状态变化识别断线，AHT20通信失败时上报ERR状态；异常结果经OpenAMP/RPMsg发送至Linux界面。</x:v>
      </x:c>
      <x:c r="D5" s="17" t="str">
        <x:v>[物理断路测试]运行中分别拔除火焰、气体和AHT20接线，验证系统在下一次状态上报周期内识别异常并在监控界面显示对应断线或错误状态。</x:v>
      </x:c>
      <x:c r="E5" s="21" t="e">
        <x:f>_xlfn.DISPIMG("ID_5ED67EA5C9304282BCCAA95827395C54",1)</x:f>
        <x:v>#NAME?</x:v>
      </x:c>
      <x:c r="F5" s="21"/>
      <x:c r="G5" s="21"/>
      <x:c r="H5" s="21"/>
      <x:c r="I5" s="21"/>
      <x:c r="J5" s="21"/>
      <x:c r="K5" s="21"/>
      <x:c r="L5" s="21"/>
      <x:c r="M5" s="21" t="e">
        <x:f>_xlfn.DISPIMG("ID_80DCD2C60C6A43A3A3722B2E395BF71C",1)</x:f>
        <x:v>#NAME?</x:v>
      </x:c>
      <x:c r="N5" s="10"/>
      <x:c r="O5" s="10"/>
      <x:c r="P5" s="10"/>
      <x:c r="Q5" s="10"/>
      <x:c r="R5" s="10"/>
      <x:c r="S5" s="10"/>
      <x:c r="T5" s="10"/>
    </x:row>
    <x:row r="6" ht="111" customHeight="1">
      <x:c r="A6" s="14" t="s">
        <x:v>10</x:v>
      </x:c>
      <x:c r="B6" s="19" t="str">
        <x:v>Linux调度拥塞或业务进程异常导致安全报警链路延迟</x:v>
      </x:c>
      <x:c r="C6" s="18" t="str">
        <x:v>采用Linux+Bare-metal异构分域架构。Bare-metal Core1通过最高优先级GPIO中断响应火焰信号并独立执行蜂鸣器报警；气体状态由Core1周期采集，安全控制不依赖Linux调度。</x:v>
      </x:c>
      <x:c r="D6" s="17" t="str">
        <x:v>[满载独立报警测试]运行压测使Linux侧CPU满载，物理触发火焰传感器，使用示波器测量传感器输入至蜂鸣器输出时延，验证报警动作不受Linux负载影响，并记录平均值与最大值。</x:v>
      </x:c>
      <x:c r="E6" s="21" t="e">
        <x:f>_xlfn.DISPIMG("ID_D9E4C2245F35486AAAD92BD184D64139",1)</x:f>
        <x:v>#NAME?</x:v>
      </x:c>
      <x:c r="F6" s="21"/>
      <x:c r="G6" s="21"/>
      <x:c r="H6" s="21"/>
      <x:c r="I6" s="21"/>
      <x:c r="J6" s="21"/>
      <x:c r="K6" s="21"/>
      <x:c r="L6" s="21"/>
      <x:c r="M6" s="21"/>
      <x:c r="N6" s="10"/>
      <x:c r="O6" s="10"/>
      <x:c r="P6" s="10"/>
      <x:c r="Q6" s="10"/>
      <x:c r="R6" s="10"/>
      <x:c r="S6" s="10"/>
      <x:c r="T6" s="10"/>
    </x:row>
    <x:row r="7" ht="103" customHeight="1">
      <x:c r="A7" s="14" t="s">
        <x:v>11</x:v>
      </x:c>
      <x:c r="B7" s="19" t="str">
        <x:v>视频帧跨线程复制或排队导致延迟累积、画面卡顿或撕裂</x:v>
      </x:c>
      <x:c r="C7" s="19" t="str">
        <x:v>采用SPSC无锁队列和低拷贝渲染链路：摄像头缓冲区入队仅进行一次必要深拷贝，QImage直接引用cv::Mat数据，并通过有限队列与满载丢帧策略限制延迟。</x:v>
      </x:c>
      <x:c r="D7" s="17" t="str">
        <x:v>[渲染稳定性测试]连续拉流30分钟，记录平均帧率、CPU负载及队列满载行为，观察画面是否存在明显卡顿、相位延迟或撕裂。</x:v>
      </x:c>
      <x:c r="E7" s="21" t="e">
        <x:f>_xlfn.DISPIMG("ID_AA0ED33DE47940AF990F6D08BE5166B7",1)</x:f>
        <x:v>#NAME?</x:v>
      </x:c>
      <x:c r="F7" s="21"/>
      <x:c r="G7" s="21"/>
      <x:c r="H7" s="21"/>
      <x:c r="I7" s="21"/>
      <x:c r="J7" s="21"/>
      <x:c r="K7" s="21"/>
      <x:c r="L7" s="21"/>
      <x:c r="M7" s="21"/>
      <x:c r="N7" s="10"/>
      <x:c r="O7" s="10"/>
      <x:c r="P7" s="10"/>
      <x:c r="Q7" s="10"/>
      <x:c r="R7" s="10"/>
      <x:c r="S7" s="10"/>
      <x:c r="T7" s="10"/>
    </x:row>
    <x:row r="8" ht="89" customHeight="1">
      <x:c r="A8" s="14" t="s">
        <x:v>12</x:v>
      </x:c>
      <x:c r="B8" s="19" t="str">
        <x:v>断电导致正式证据文件残缺，或长期运行导致磁盘空间耗尽</x:v>
      </x:c>
      <x:c r="C8" s="19" t="str">
        <x:v>图片先写入临时文件，写入完成后在同一文件系统内原子重命名为正式文件，降低不完整文件暴露风险；磁盘使用率超过85%时，在每500次保存的周期检查中删除20%最旧JPG证据。</x:v>
      </x:c>
      <x:c r="D8" s="19" t="str">
        <x:v>[断电与容量测试]在图片写入阶段切断电源，重启后检查正式JPG是否存在0字节或不可解码文件；将分区使用率提升至85%以上并触发第500次保存检查，验证删除20%最旧JPG且新证据可继续写入。</x:v>
      </x:c>
      <x:c r="E8" s="21" t="e">
        <x:f>_xlfn.DISPIMG("ID_1C481951B73B4FE69D758F7AB99C2BC4",1)</x:f>
        <x:v>#NAME?</x:v>
      </x:c>
      <x:c r="F8" s="21"/>
      <x:c r="G8" s="21"/>
      <x:c r="H8" s="21"/>
      <x:c r="I8" s="21"/>
      <x:c r="J8" s="21"/>
      <x:c r="K8" s="21"/>
      <x:c r="L8" s="21"/>
      <x:c r="M8" s="21"/>
      <x:c r="N8" s="10"/>
      <x:c r="O8" s="10"/>
      <x:c r="P8" s="10"/>
      <x:c r="Q8" s="10"/>
      <x:c r="R8" s="10"/>
      <x:c r="S8" s="10"/>
      <x:c r="T8" s="10"/>
    </x:row>
    <x:row r="9" ht="79" customHeight="1">
      <x:c r="A9" s="14" t="s">
        <x:v>13</x:v>
      </x:c>
      <x:c r="B9" s="19" t="str">
        <x:v>Linux主控程序崩溃、整体挂起或OpenAMP心跳停止</x:v>
      </x:c>
      <x:c r="C9" s="19" t="str">
        <x:v>Linux以500ms周期发送OpenAMP心跳。Bare-metal Core1连续丢失10次心跳后，在约5秒时进入Fail-Safe，将FWDT超时时间设置为1秒并停止喂狗，随后触发硬件复位。</x:v>
      </x:c>
      <x:c r="D9" s="19" t="str">
        <x:v>[主核挂起测试]使用kill -STOP暂停整个Linux应用进程，验证Core1在约5秒后输出失联与Fail-Safe日志，并验证FWDT随后约1秒触发整机冷重启。</x:v>
      </x:c>
      <x:c r="E9" s="20" t="s">
        <x:v>14</x:v>
      </x:c>
      <x:c r="F9" s="21"/>
      <x:c r="G9" s="21"/>
      <x:c r="H9" s="21"/>
      <x:c r="I9" s="21"/>
      <x:c r="J9" s="21"/>
      <x:c r="K9" s="21"/>
      <x:c r="L9" s="21"/>
      <x:c r="M9" s="21"/>
      <x:c r="N9" s="10"/>
      <x:c r="O9" s="10"/>
      <x:c r="P9" s="10"/>
      <x:c r="Q9" s="10"/>
      <x:c r="R9" s="10"/>
      <x:c r="S9" s="10"/>
      <x:c r="T9" s="10"/>
    </x:row>
    <x:row r="10" ht="102" customHeight="1">
      <x:c r="A10" s="14" t="s">
        <x:v>15</x:v>
      </x:c>
      <x:c r="B10" s="19" t="str">
        <x:v>网络中断、API异常或响应超时导致整改建议无法及时返回</x:v>
      </x:c>
      <x:c r="C10" s="19" t="str">
        <x:v>DeepSeek请求由独立异步网络任务处理，并设置10秒超时机制；请求失败或超时后中止当前请求，切换为本地预设安全建议，视频、UI和底层报警链路继续运行。</x:v>
      </x:c>
      <x:c r="D10" s="19" t="str">
        <x:v>[断网降级测试]断开开发板网络并触发违规，验证系统在约10秒内显示本地预设建议，主界面保持响应，视频与独立报警功能不受影响。</x:v>
      </x:c>
      <x:c r="E10" s="21" t="e">
        <x:f>_xlfn.DISPIMG("ID_872A710864AF4EBE86B1802B455F776C",1)</x:f>
        <x:v>#NAME?</x:v>
      </x:c>
      <x:c r="F10" s="21"/>
      <x:c r="G10" s="21"/>
      <x:c r="H10" s="21"/>
      <x:c r="I10" s="21"/>
      <x:c r="J10" s="21"/>
      <x:c r="K10" s="21"/>
      <x:c r="L10" s="21"/>
      <x:c r="M10" s="21"/>
      <x:c r="N10" s="10"/>
      <x:c r="O10" s="10"/>
      <x:c r="P10" s="10"/>
      <x:c r="Q10" s="10"/>
      <x:c r="R10" s="10"/>
      <x:c r="S10" s="10"/>
      <x:c r="T10" s="10"/>
    </x:row>
    <x:row r="11" ht="90" customHeight="1">
      <x:c r="A11" s="28" t="str">
        <x:v>OpenAMP通信链路
（REQ-06，REQ-12，REQ-13）</x:v>
      </x:c>
      <x:c r="B11" s="19" t="str">
        <x:v>RPMsg数据包损坏、CRC校验失败或通信端点异常销毁</x:v>
      </x:c>
      <x:c r="C11" s="19" t="str">
        <x:v>OpenAMP应用层消息增加CRC-8校验，校验失败的数据包直接丢弃且不执行控制指令；通信端点异常销毁时，Bare-metal Core1进入Fail-Safe并通过FWDT触发硬件复位。</x:v>
      </x:c>
      <x:c r="D11" s="19" t="str">
        <x:v>[协议异常注入]连续发送CRC错误包，验证错误指令不被执行；随后停止Linux进程或销毁RPMsg端点，验证Core1进入Fail-Safe并触发FWDT复位。</x:v>
      </x:c>
      <x:c r="E11" s="19" t="str">
        <x:v>待补充协议异常注入演示记录</x:v>
      </x:c>
      <x:c r="F11" s="19"/>
      <x:c r="G11" s="19"/>
      <x:c r="H11" s="19"/>
      <x:c r="I11" s="19"/>
      <x:c r="J11" s="19"/>
      <x:c r="K11" s="19"/>
      <x:c r="L11" s="19"/>
      <x:c r="M11" s="19"/>
    </x:row>
  </x:sheetData>
  <x:mergeCells>
    <x:mergeCell ref="E1:T1"/>
    <x:mergeCell ref="E2:L2"/>
    <x:mergeCell ref="M2:T2"/>
    <x:mergeCell ref="E3:L3"/>
    <x:mergeCell ref="M3:T3"/>
    <x:mergeCell ref="E4:L4"/>
    <x:mergeCell ref="M4:T4"/>
    <x:mergeCell ref="E5:L5"/>
    <x:mergeCell ref="M5:T5"/>
    <x:mergeCell ref="E6:L6"/>
    <x:mergeCell ref="M6:T6"/>
    <x:mergeCell ref="E7:L7"/>
    <x:mergeCell ref="M7:T7"/>
    <x:mergeCell ref="E8:L8"/>
    <x:mergeCell ref="M8:T8"/>
    <x:mergeCell ref="E9:L9"/>
    <x:mergeCell ref="M9:T9"/>
    <x:mergeCell ref="E10:L10"/>
    <x:mergeCell ref="M10:T10"/>
    <x:mergeCell ref="E11:M11"/>
  </x:mergeCells>
  <x:pageMargins left="0.7" right="0.7" top="0.75" bottom="0.75" header="0.3" footer="0.3"/>
</x:worksheet>
</file>